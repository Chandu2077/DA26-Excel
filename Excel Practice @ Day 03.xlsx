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Fa\EXCEL\"/>
    </mc:Choice>
  </mc:AlternateContent>
  <xr:revisionPtr revIDLastSave="0" documentId="13_ncr:1_{CCC717BC-2C2E-4C8F-A96D-1E2E6F9CCC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Dept">Patient_Data!$E$2:$E$41</definedName>
    <definedName name="Gender">Patient_Data!$D$2:$D$41</definedName>
    <definedName name="Insurance">Patient_Data!$J$2:$J$41</definedName>
    <definedName name="Status">Patient_Data!$L$2:$L$41</definedName>
    <definedName name="Stay">Patient_Data!$M$2:$M$41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1" l="1"/>
  <c r="H48" i="1"/>
  <c r="H56" i="1"/>
  <c r="H53" i="1"/>
  <c r="H47" i="1"/>
  <c r="H52" i="1"/>
  <c r="H51" i="1"/>
  <c r="H57" i="1"/>
  <c r="H60" i="1"/>
  <c r="H66" i="1"/>
  <c r="H65" i="1"/>
  <c r="H64" i="1"/>
  <c r="H63" i="1"/>
  <c r="H62" i="1"/>
  <c r="H61" i="1"/>
  <c r="H59" i="1"/>
  <c r="H58" i="1"/>
  <c r="H55" i="1"/>
  <c r="H54" i="1"/>
  <c r="H50" i="1"/>
  <c r="V13" i="1"/>
  <c r="V14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3" i="1"/>
  <c r="W2" i="1"/>
  <c r="V3" i="1"/>
  <c r="V4" i="1"/>
  <c r="V5" i="1"/>
  <c r="V6" i="1"/>
  <c r="V7" i="1"/>
  <c r="V8" i="1"/>
  <c r="V9" i="1"/>
  <c r="V10" i="1"/>
  <c r="V11" i="1"/>
  <c r="V12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2" i="1" a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" i="1"/>
  <c r="N3" i="1"/>
  <c r="N2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H4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<sst xmlns="http://schemas.openxmlformats.org/spreadsheetml/2006/main" count="469" uniqueCount="236">
  <si>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</si>
  <si>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</si>
  <si>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</si>
  <si>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</si>
  <si>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</si>
  <si>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</si>
  <si>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</si>
  <si>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</si>
  <si>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</si>
  <si>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</si>
  <si>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</si>
  <si>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</si>
  <si>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</si>
  <si>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</si>
  <si>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</si>
  <si>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</si>
  <si>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</si>
  <si>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</si>
  <si>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</si>
  <si>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</si>
  <si>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</si>
  <si>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</si>
  <si>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</si>
  <si>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</si>
  <si>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</si>
  <si>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</si>
  <si>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</si>
  <si>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</si>
  <si>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</si>
  <si>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</si>
  <si>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</si>
  <si>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</si>
  <si>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</si>
  <si>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</si>
  <si>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</si>
  <si>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</si>
  <si>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</si>
  <si>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</si>
  <si>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</si>
  <si>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</si>
  <si>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</si>
  <si>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</si>
  <si>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</si>
  <si>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</si>
  <si>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</si>
  <si>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</si>
  <si>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</si>
  <si>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</si>
  <si>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</si>
  <si>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</si>
  <si>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</si>
  <si>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</si>
  <si>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</si>
  <si>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</si>
  <si>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</si>
  <si>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</si>
  <si>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</si>
  <si>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</si>
  <si>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</si>
  <si>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</si>
  <si>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</si>
  <si>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</si>
  <si>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</si>
  <si>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</si>
  <si>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</si>
  <si>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</si>
  <si>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</si>
  <si>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</si>
  <si>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</si>
  <si>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</si>
  <si>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</si>
  <si>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</si>
  <si>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</si>
  <si>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</si>
  <si>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</si>
  <si>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</si>
  <si>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</si>
  <si>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</si>
  <si>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</si>
  <si>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</si>
  <si>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</si>
  <si>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</si>
  <si>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</si>
  <si>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</si>
  <si>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</si>
  <si>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</si>
  <si>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</si>
  <si>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</si>
  <si>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</si>
  <si>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</si>
  <si>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</si>
  <si>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</si>
  <si>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</si>
  <si>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</si>
  <si>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</si>
  <si>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</si>
  <si>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</si>
  <si>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</si>
  <si>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</si>
  <si>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</si>
  <si>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</si>
  <si>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</si>
  <si>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</si>
  <si>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</si>
  <si>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</si>
  <si>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</si>
  <si>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</si>
  <si>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</si>
  <si>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</si>
  <si>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</si>
  <si>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</si>
  <si>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</si>
  <si>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</si>
  <si>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</si>
  <si>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</si>
  <si>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</si>
  <si>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</si>
  <si>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</si>
  <si>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</si>
  <si>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</si>
  <si>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</si>
  <si>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</si>
  <si>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</si>
  <si>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</si>
  <si>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</si>
  <si>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</si>
  <si>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</si>
  <si>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</si>
  <si>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</si>
  <si>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</si>
  <si>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</si>
  <si>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</si>
  <si>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</si>
  <si>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</si>
  <si>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</si>
  <si>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</si>
  <si>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</si>
  <si>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</si>
  <si>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</si>
  <si>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</si>
  <si>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</si>
  <si>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</si>
  <si>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</si>
  <si>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</si>
  <si>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</si>
  <si>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</si>
  <si>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</si>
  <si>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</si>
  <si>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</si>
  <si>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</si>
  <si>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</si>
  <si>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</si>
  <si>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</si>
  <si>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</si>
  <si>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</si>
  <si>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</si>
  <si>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</si>
  <si>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</si>
  <si>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</si>
  <si>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</si>
  <si>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</si>
  <si>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</si>
  <si>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</si>
  <si>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</si>
  <si>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</si>
  <si>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</si>
  <si>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</si>
  <si>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</si>
  <si>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</si>
  <si>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</si>
  <si>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</si>
  <si>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</si>
  <si>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</si>
  <si>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</si>
  <si>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</si>
  <si>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</si>
  <si>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</si>
  <si>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</si>
  <si>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</si>
  <si>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</si>
  <si>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</si>
  <si>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</si>
  <si>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</si>
  <si>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</si>
  <si>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</si>
  <si>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</si>
  <si>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</si>
  <si>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</si>
  <si>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</si>
  <si>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</si>
  <si>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</si>
  <si>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</si>
  <si>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</si>
  <si>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</si>
  <si>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</si>
  <si>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</si>
  <si>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</si>
  <si>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</si>
  <si>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</si>
  <si>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</si>
  <si>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</si>
  <si>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</si>
  <si>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</si>
  <si>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</si>
  <si>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</si>
  <si>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</si>
  <si>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</si>
  <si>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</si>
  <si>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</si>
  <si>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</si>
  <si>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</si>
  <si>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</si>
  <si>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</si>
  <si>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</si>
  <si>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</si>
  <si>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</si>
  <si>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</si>
  <si>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</si>
  <si>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</si>
  <si>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</si>
  <si>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</si>
  <si>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</si>
  <si>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</si>
  <si>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</si>
  <si>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</si>
  <si>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Bill Category</t>
  </si>
  <si>
    <t>Age Category</t>
  </si>
  <si>
    <t>Bill Case</t>
  </si>
  <si>
    <t>Follow Up</t>
  </si>
  <si>
    <t>Department Priority</t>
  </si>
  <si>
    <t>Final Payment Check</t>
  </si>
  <si>
    <t>Bill Category Level</t>
  </si>
  <si>
    <t>Financial Risk</t>
  </si>
  <si>
    <t xml:space="preserve"> Review Type</t>
  </si>
  <si>
    <t xml:space="preserve"> CZzxsd  zz                                              </t>
  </si>
  <si>
    <t>Find total billing for Neurology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</si>
</sst>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topLeftCell="C43" zoomScaleNormal="100" workbookViewId="0">
      <selection activeCell="H53" sqref="H53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22.88671875" customWidth="1"/>
    <col min="19" max="19" width="17.6640625" customWidth="1"/>
    <col min="20" max="20" width="18.109375" customWidth="1"/>
    <col min="21" max="21" width="16" customWidth="1"/>
    <col min="22" max="22" width="22" customWidth="1"/>
    <col min="23" max="23" width="17.77734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224</v>
      </c>
      <c r="O1" s="14" t="s">
        <v>225</v>
      </c>
      <c r="P1" s="14" t="s">
        <v>226</v>
      </c>
      <c r="Q1" s="14" t="s">
        <v>227</v>
      </c>
      <c r="R1" s="14" t="s">
        <v>228</v>
      </c>
      <c r="S1" s="14" t="s">
        <v>229</v>
      </c>
      <c r="T1" s="14" t="s">
        <v>230</v>
      </c>
      <c r="U1" s="10" t="s">
        <v>231</v>
      </c>
      <c r="V1" s="10" t="s">
        <v>232</v>
      </c>
      <c r="W1" s="10" t="s">
        <v>233</v>
      </c>
    </row>
    <row r="2" spans="1:23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 "Follow Up", "No Action")</f>
        <v>No Action</v>
      </c>
      <c r="O2" t="str">
        <f>IF(K2&gt;40000, "High Bill", "Normal Bill")</f>
        <v>Normal Bill</v>
      </c>
      <c r="P2" t="str">
        <f>IF(C2&gt;=60, "Senior Citizen", "Non-senior")</f>
        <v>Non-senior</v>
      </c>
      <c r="Q2" t="str">
        <f>IF(AND(K2&gt;40000, M2&gt;5), "High Billing Case", "Normal Case")</f>
        <v>Normal Case</v>
      </c>
      <c r="R2" t="str">
        <f>IF(AND(L2="Pending", K2&gt;30000), "Urgent Payment Follow Up", "No Action")</f>
        <v>No Action</v>
      </c>
      <c r="S2" t="str">
        <f>IF(OR(E2="Cardiology", E2="Neurology"), "Priority Depatment", "Regular Department")</f>
        <v>Priority Depatment</v>
      </c>
      <c r="T2" t="str">
        <f>IF(NOT(L2="Pending"), "Payment Completed", "Payment Pending")</f>
        <v>Payment Completed</v>
      </c>
      <c r="U2" t="str" cm="1">
        <f t="array" ref="U2">_xlfn.IFS(K2&gt;=50000, "Very High", K2&gt;=30000, "High", K2&gt;=15000, "Medium", K2&lt;15000, "Low")</f>
        <v>Medium</v>
      </c>
      <c r="V2" t="str">
        <f>IF(AND(K2&gt;=40000, L2 = "Pending"), "High", "Normal")</f>
        <v>Normal</v>
      </c>
      <c r="W2" t="str">
        <f>IF(AND(OR(E2= "Cardilogy", E2= "Orthopedics"), K2&gt;30000), "Review Required", "No Review")</f>
        <v>No Review</v>
      </c>
    </row>
    <row r="3" spans="1:23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>IF(L3="Pending", "Follow Up", "No Action")</f>
        <v>No Action</v>
      </c>
      <c r="O3" t="str">
        <f t="shared" ref="O3:O41" si="0">IF(K3&gt;40000, "High Bill", "Normal Bill")</f>
        <v>High Bill</v>
      </c>
      <c r="P3" t="str">
        <f t="shared" ref="P3:P41" si="1">IF(C3&gt;=60, "Senior Citizen", "Non-senior")</f>
        <v>Non-senior</v>
      </c>
      <c r="Q3" t="str">
        <f t="shared" ref="Q3:Q41" si="2">IF(AND(K3&gt;40000, M3&gt;5), "High Billing Case", "Normal Case")</f>
        <v>High Billing Case</v>
      </c>
      <c r="R3" t="str">
        <f t="shared" ref="R3:R41" si="3">IF(AND(L3="Pending", K3&gt;30000), "Urgent Payment Follow Up", "No Action")</f>
        <v>No Action</v>
      </c>
      <c r="S3" t="str">
        <f t="shared" ref="S3:S41" si="4">IF(OR(E3="Cardiology", E3="Neurology"), "Priority Depatment", "Regular Department")</f>
        <v>Regular Department</v>
      </c>
      <c r="T3" t="str">
        <f t="shared" ref="T3:T41" si="5">IF(NOT(L3="Pending"), "Payment Completed", "Payment Pending")</f>
        <v>Payment Completed</v>
      </c>
      <c r="U3" t="str" cm="1">
        <f t="array" ref="U3">_xlfn.IFS(K3&gt;=50000, "Very High", K3&gt;=30000, "High", K3&gt;=15000, "Medium", K3&lt;15000, "Low")</f>
        <v>High</v>
      </c>
      <c r="V3" t="str">
        <f t="shared" ref="V3:V41" si="6">IF(AND(K3&gt;=40000, L3 = "Pending"), "High", "Normal")</f>
        <v>Normal</v>
      </c>
      <c r="W3" t="str">
        <f>IF(AND(OR(E3= "Cardilogy", E3= "Orthopedics"), K3&gt;30000), "Management Review", "No Review")</f>
        <v>Management Review</v>
      </c>
    </row>
    <row r="4" spans="1:23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>IF(L4="Pending", "Follow Up", "No Action")</f>
        <v>No Action</v>
      </c>
      <c r="O4" t="str">
        <f t="shared" si="0"/>
        <v>Normal Bill</v>
      </c>
      <c r="P4" t="str">
        <f t="shared" si="1"/>
        <v>Non-senior</v>
      </c>
      <c r="Q4" t="str">
        <f t="shared" si="2"/>
        <v>Normal Case</v>
      </c>
      <c r="R4" t="str">
        <f t="shared" si="3"/>
        <v>No Action</v>
      </c>
      <c r="S4" t="str">
        <f t="shared" si="4"/>
        <v>Regular Department</v>
      </c>
      <c r="T4" t="str">
        <f t="shared" si="5"/>
        <v>Payment Completed</v>
      </c>
      <c r="U4" t="str" cm="1">
        <f t="array" ref="U4">_xlfn.IFS(K4&gt;=50000, "Very High", K4&gt;=30000, "High", K4&gt;=15000, "Medium", K4&lt;15000, "Low")</f>
        <v>Low</v>
      </c>
      <c r="V4" t="str">
        <f t="shared" si="6"/>
        <v>Normal</v>
      </c>
      <c r="W4" t="str">
        <f t="shared" ref="W4:W41" si="7">IF(AND(OR(E4= "Cardilogy", E4= "Orthopedics"), K4&gt;30000), "Management Review", "No Review")</f>
        <v>No Review</v>
      </c>
    </row>
    <row r="5" spans="1:23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ref="N5:N41" si="8">IF(L5="Pending", "Follow Up", "No Action")</f>
        <v>Follow Up</v>
      </c>
      <c r="O5" t="str">
        <f t="shared" si="0"/>
        <v>Normal Bill</v>
      </c>
      <c r="P5" t="str">
        <f t="shared" si="1"/>
        <v>Non-senior</v>
      </c>
      <c r="Q5" t="str">
        <f t="shared" si="2"/>
        <v>Normal Case</v>
      </c>
      <c r="R5" t="str">
        <f t="shared" si="3"/>
        <v>No Action</v>
      </c>
      <c r="S5" t="str">
        <f t="shared" si="4"/>
        <v>Priority Depatment</v>
      </c>
      <c r="T5" t="str">
        <f t="shared" si="5"/>
        <v>Payment Pending</v>
      </c>
      <c r="U5" t="str" cm="1">
        <f t="array" ref="U5">_xlfn.IFS(K5&gt;=50000, "Very High", K5&gt;=30000, "High", K5&gt;=15000, "Medium", K5&lt;15000, "Low")</f>
        <v>Medium</v>
      </c>
      <c r="V5" t="str">
        <f t="shared" si="6"/>
        <v>Normal</v>
      </c>
      <c r="W5" t="str">
        <f t="shared" si="7"/>
        <v>No Review</v>
      </c>
    </row>
    <row r="6" spans="1:23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8"/>
        <v>No Action</v>
      </c>
      <c r="O6" t="str">
        <f t="shared" si="0"/>
        <v>Normal Bill</v>
      </c>
      <c r="P6" t="str">
        <f t="shared" si="1"/>
        <v>Senior Citizen</v>
      </c>
      <c r="Q6" t="str">
        <f t="shared" si="2"/>
        <v>Normal Case</v>
      </c>
      <c r="R6" t="str">
        <f t="shared" si="3"/>
        <v>No Action</v>
      </c>
      <c r="S6" t="str">
        <f t="shared" si="4"/>
        <v>Priority Depatment</v>
      </c>
      <c r="T6" t="str">
        <f t="shared" si="5"/>
        <v>Payment Completed</v>
      </c>
      <c r="U6" t="str" cm="1">
        <f t="array" ref="U6">_xlfn.IFS(K6&gt;=50000, "Very High", K6&gt;=30000, "High", K6&gt;=15000, "Medium", K6&lt;15000, "Low")</f>
        <v>Medium</v>
      </c>
      <c r="V6" t="str">
        <f t="shared" si="6"/>
        <v>Normal</v>
      </c>
      <c r="W6" t="str">
        <f t="shared" si="7"/>
        <v>No Review</v>
      </c>
    </row>
    <row r="7" spans="1:23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8"/>
        <v>No Action</v>
      </c>
      <c r="O7" t="str">
        <f t="shared" si="0"/>
        <v>Normal Bill</v>
      </c>
      <c r="P7" t="str">
        <f t="shared" si="1"/>
        <v>Non-senior</v>
      </c>
      <c r="Q7" t="str">
        <f t="shared" si="2"/>
        <v>Normal Case</v>
      </c>
      <c r="R7" t="str">
        <f t="shared" si="3"/>
        <v>No Action</v>
      </c>
      <c r="S7" t="str">
        <f t="shared" si="4"/>
        <v>Regular Department</v>
      </c>
      <c r="T7" t="str">
        <f t="shared" si="5"/>
        <v>Payment Completed</v>
      </c>
      <c r="U7" t="str" cm="1">
        <f t="array" ref="U7">_xlfn.IFS(K7&gt;=50000, "Very High", K7&gt;=30000, "High", K7&gt;=15000, "Medium", K7&lt;15000, "Low")</f>
        <v>Low</v>
      </c>
      <c r="V7" t="str">
        <f t="shared" si="6"/>
        <v>Normal</v>
      </c>
      <c r="W7" t="str">
        <f t="shared" si="7"/>
        <v>No Review</v>
      </c>
    </row>
    <row r="8" spans="1:23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8"/>
        <v>Follow Up</v>
      </c>
      <c r="O8" t="str">
        <f t="shared" si="0"/>
        <v>High Bill</v>
      </c>
      <c r="P8" t="str">
        <f t="shared" si="1"/>
        <v>Senior Citizen</v>
      </c>
      <c r="Q8" t="str">
        <f t="shared" si="2"/>
        <v>High Billing Case</v>
      </c>
      <c r="R8" t="str">
        <f t="shared" si="3"/>
        <v>Urgent Payment Follow Up</v>
      </c>
      <c r="S8" t="str">
        <f t="shared" si="4"/>
        <v>Priority Depatment</v>
      </c>
      <c r="T8" t="str">
        <f t="shared" si="5"/>
        <v>Payment Pending</v>
      </c>
      <c r="U8" t="str" cm="1">
        <f t="array" ref="U8">_xlfn.IFS(K8&gt;=50000, "Very High", K8&gt;=30000, "High", K8&gt;=15000, "Medium", K8&lt;15000, "Low")</f>
        <v>Very High</v>
      </c>
      <c r="V8" t="str">
        <f t="shared" si="6"/>
        <v>High</v>
      </c>
      <c r="W8" t="str">
        <f t="shared" si="7"/>
        <v>No Review</v>
      </c>
    </row>
    <row r="9" spans="1:23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8"/>
        <v>No Action</v>
      </c>
      <c r="O9" t="str">
        <f t="shared" si="0"/>
        <v>Normal Bill</v>
      </c>
      <c r="P9" t="str">
        <f t="shared" si="1"/>
        <v>Non-senior</v>
      </c>
      <c r="Q9" t="str">
        <f t="shared" si="2"/>
        <v>Normal Case</v>
      </c>
      <c r="R9" t="str">
        <f t="shared" si="3"/>
        <v>No Action</v>
      </c>
      <c r="S9" t="str">
        <f t="shared" si="4"/>
        <v>Regular Department</v>
      </c>
      <c r="T9" t="str">
        <f t="shared" si="5"/>
        <v>Payment Completed</v>
      </c>
      <c r="U9" t="str" cm="1">
        <f t="array" ref="U9">_xlfn.IFS(K9&gt;=50000, "Very High", K9&gt;=30000, "High", K9&gt;=15000, "Medium", K9&lt;15000, "Low")</f>
        <v>Low</v>
      </c>
      <c r="V9" t="str">
        <f t="shared" si="6"/>
        <v>Normal</v>
      </c>
      <c r="W9" t="str">
        <f t="shared" si="7"/>
        <v>No Review</v>
      </c>
    </row>
    <row r="10" spans="1:23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8"/>
        <v>No Action</v>
      </c>
      <c r="O10" t="str">
        <f t="shared" si="0"/>
        <v>Normal Bill</v>
      </c>
      <c r="P10" t="str">
        <f t="shared" si="1"/>
        <v>Non-senior</v>
      </c>
      <c r="Q10" t="str">
        <f t="shared" si="2"/>
        <v>Normal Case</v>
      </c>
      <c r="R10" t="str">
        <f t="shared" si="3"/>
        <v>No Action</v>
      </c>
      <c r="S10" t="str">
        <f t="shared" si="4"/>
        <v>Regular Department</v>
      </c>
      <c r="T10" t="str">
        <f t="shared" si="5"/>
        <v>Payment Completed</v>
      </c>
      <c r="U10" t="str" cm="1">
        <f t="array" ref="U10">_xlfn.IFS(K10&gt;=50000, "Very High", K10&gt;=30000, "High", K10&gt;=15000, "Medium", K10&lt;15000, "Low")</f>
        <v>Medium</v>
      </c>
      <c r="V10" t="str">
        <f t="shared" si="6"/>
        <v>Normal</v>
      </c>
      <c r="W10" t="str">
        <f t="shared" si="7"/>
        <v>No Review</v>
      </c>
    </row>
    <row r="11" spans="1:23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8"/>
        <v>No Action</v>
      </c>
      <c r="O11" t="str">
        <f t="shared" si="0"/>
        <v>Normal Bill</v>
      </c>
      <c r="P11" t="str">
        <f t="shared" si="1"/>
        <v>Non-senior</v>
      </c>
      <c r="Q11" t="str">
        <f t="shared" si="2"/>
        <v>Normal Case</v>
      </c>
      <c r="R11" t="str">
        <f t="shared" si="3"/>
        <v>No Action</v>
      </c>
      <c r="S11" t="str">
        <f t="shared" si="4"/>
        <v>Regular Department</v>
      </c>
      <c r="T11" t="str">
        <f t="shared" si="5"/>
        <v>Payment Completed</v>
      </c>
      <c r="U11" t="str" cm="1">
        <f t="array" ref="U11">_xlfn.IFS(K11&gt;=50000, "Very High", K11&gt;=30000, "High", K11&gt;=15000, "Medium", K11&lt;15000, "Low")</f>
        <v>Low</v>
      </c>
      <c r="V11" t="str">
        <f t="shared" si="6"/>
        <v>Normal</v>
      </c>
      <c r="W11" t="str">
        <f t="shared" si="7"/>
        <v>No Review</v>
      </c>
    </row>
    <row r="12" spans="1:23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8"/>
        <v>No Action</v>
      </c>
      <c r="O12" t="str">
        <f t="shared" si="0"/>
        <v>Normal Bill</v>
      </c>
      <c r="P12" t="str">
        <f t="shared" si="1"/>
        <v>Senior Citizen</v>
      </c>
      <c r="Q12" t="str">
        <f t="shared" si="2"/>
        <v>Normal Case</v>
      </c>
      <c r="R12" t="str">
        <f t="shared" si="3"/>
        <v>No Action</v>
      </c>
      <c r="S12" t="str">
        <f t="shared" si="4"/>
        <v>Priority Depatment</v>
      </c>
      <c r="T12" t="str">
        <f t="shared" si="5"/>
        <v>Payment Completed</v>
      </c>
      <c r="U12" t="str" cm="1">
        <f t="array" ref="U12">_xlfn.IFS(K12&gt;=50000, "Very High", K12&gt;=30000, "High", K12&gt;=15000, "Medium", K12&lt;15000, "Low")</f>
        <v>Medium</v>
      </c>
      <c r="V12" t="str">
        <f t="shared" si="6"/>
        <v>Normal</v>
      </c>
      <c r="W12" t="str">
        <f t="shared" si="7"/>
        <v>No Review</v>
      </c>
    </row>
    <row r="13" spans="1:23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8"/>
        <v>Follow Up</v>
      </c>
      <c r="O13" t="str">
        <f t="shared" si="0"/>
        <v>Normal Bill</v>
      </c>
      <c r="P13" t="str">
        <f t="shared" si="1"/>
        <v>Non-senior</v>
      </c>
      <c r="Q13" t="str">
        <f t="shared" si="2"/>
        <v>Normal Case</v>
      </c>
      <c r="R13" t="str">
        <f t="shared" si="3"/>
        <v>Urgent Payment Follow Up</v>
      </c>
      <c r="S13" t="str">
        <f t="shared" si="4"/>
        <v>Priority Depatment</v>
      </c>
      <c r="T13" t="str">
        <f t="shared" si="5"/>
        <v>Payment Pending</v>
      </c>
      <c r="U13" t="str" cm="1">
        <f t="array" ref="U13">_xlfn.IFS(K13&gt;=50000, "Very High", K13&gt;=30000, "High", K13&gt;=15000, "Medium", K13&lt;15000, "Low")</f>
        <v>High</v>
      </c>
      <c r="V13" t="str">
        <f t="shared" si="6"/>
        <v>Normal</v>
      </c>
      <c r="W13" t="str">
        <f t="shared" si="7"/>
        <v>No Review</v>
      </c>
    </row>
    <row r="14" spans="1:23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8"/>
        <v>No Action</v>
      </c>
      <c r="O14" t="str">
        <f t="shared" si="0"/>
        <v>Normal Bill</v>
      </c>
      <c r="P14" t="str">
        <f t="shared" si="1"/>
        <v>Non-senior</v>
      </c>
      <c r="Q14" t="str">
        <f t="shared" si="2"/>
        <v>Normal Case</v>
      </c>
      <c r="R14" t="str">
        <f t="shared" si="3"/>
        <v>No Action</v>
      </c>
      <c r="S14" t="str">
        <f t="shared" si="4"/>
        <v>Regular Department</v>
      </c>
      <c r="T14" t="str">
        <f t="shared" si="5"/>
        <v>Payment Completed</v>
      </c>
      <c r="U14" t="str" cm="1">
        <f t="array" ref="U14">_xlfn.IFS(K14&gt;=50000, "Very High", K14&gt;=30000, "High", K14&gt;=15000, "Medium", K14&lt;15000, "Low")</f>
        <v>Low</v>
      </c>
      <c r="V14" t="str">
        <f t="shared" si="6"/>
        <v>Normal</v>
      </c>
      <c r="W14" t="str">
        <f t="shared" si="7"/>
        <v>No Review</v>
      </c>
    </row>
    <row r="15" spans="1:23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8"/>
        <v>No Action</v>
      </c>
      <c r="O15" t="str">
        <f t="shared" si="0"/>
        <v>Normal Bill</v>
      </c>
      <c r="P15" t="str">
        <f t="shared" si="1"/>
        <v>Non-senior</v>
      </c>
      <c r="Q15" t="str">
        <f t="shared" si="2"/>
        <v>Normal Case</v>
      </c>
      <c r="R15" t="str">
        <f t="shared" si="3"/>
        <v>No Action</v>
      </c>
      <c r="S15" t="str">
        <f t="shared" si="4"/>
        <v>Regular Department</v>
      </c>
      <c r="T15" t="str">
        <f t="shared" si="5"/>
        <v>Payment Completed</v>
      </c>
      <c r="U15" t="str" cm="1">
        <f t="array" ref="U15">_xlfn.IFS(K15&gt;=50000, "Very High", K15&gt;=30000, "High", K15&gt;=15000, "Medium", K15&lt;15000, "Low")</f>
        <v>Medium</v>
      </c>
      <c r="V15" t="str">
        <f t="shared" si="6"/>
        <v>Normal</v>
      </c>
      <c r="W15" t="str">
        <f t="shared" si="7"/>
        <v>No Review</v>
      </c>
    </row>
    <row r="16" spans="1:23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8"/>
        <v>Follow Up</v>
      </c>
      <c r="O16" t="str">
        <f t="shared" si="0"/>
        <v>High Bill</v>
      </c>
      <c r="P16" t="str">
        <f t="shared" si="1"/>
        <v>Senior Citizen</v>
      </c>
      <c r="Q16" t="str">
        <f t="shared" si="2"/>
        <v>High Billing Case</v>
      </c>
      <c r="R16" t="s">
        <v>234</v>
      </c>
      <c r="S16" t="str">
        <f t="shared" si="4"/>
        <v>Priority Depatment</v>
      </c>
      <c r="T16" t="str">
        <f t="shared" si="5"/>
        <v>Payment Pending</v>
      </c>
      <c r="U16" t="str" cm="1">
        <f t="array" ref="U16">_xlfn.IFS(K16&gt;=50000, "Very High", K16&gt;=30000, "High", K16&gt;=15000, "Medium", K16&lt;15000, "Low")</f>
        <v>Very High</v>
      </c>
      <c r="V16" t="str">
        <f t="shared" si="6"/>
        <v>High</v>
      </c>
      <c r="W16" t="str">
        <f t="shared" si="7"/>
        <v>No Review</v>
      </c>
    </row>
    <row r="17" spans="1:23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8"/>
        <v>No Action</v>
      </c>
      <c r="O17" t="str">
        <f t="shared" si="0"/>
        <v>Normal Bill</v>
      </c>
      <c r="P17" t="str">
        <f t="shared" si="1"/>
        <v>Non-senior</v>
      </c>
      <c r="Q17" t="str">
        <f t="shared" si="2"/>
        <v>Normal Case</v>
      </c>
      <c r="R17" t="str">
        <f t="shared" si="3"/>
        <v>No Action</v>
      </c>
      <c r="S17" t="str">
        <f t="shared" si="4"/>
        <v>Regular Department</v>
      </c>
      <c r="T17" t="str">
        <f t="shared" si="5"/>
        <v>Payment Completed</v>
      </c>
      <c r="U17" t="str" cm="1">
        <f t="array" ref="U17">_xlfn.IFS(K17&gt;=50000, "Very High", K17&gt;=30000, "High", K17&gt;=15000, "Medium", K17&lt;15000, "Low")</f>
        <v>Low</v>
      </c>
      <c r="V17" t="str">
        <f t="shared" si="6"/>
        <v>Normal</v>
      </c>
      <c r="W17" t="str">
        <f t="shared" si="7"/>
        <v>No Review</v>
      </c>
    </row>
    <row r="18" spans="1:23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8"/>
        <v>No Action</v>
      </c>
      <c r="O18" t="str">
        <f t="shared" si="0"/>
        <v>Normal Bill</v>
      </c>
      <c r="P18" t="str">
        <f t="shared" si="1"/>
        <v>Non-senior</v>
      </c>
      <c r="Q18" t="str">
        <f t="shared" si="2"/>
        <v>Normal Case</v>
      </c>
      <c r="R18" t="str">
        <f t="shared" si="3"/>
        <v>No Action</v>
      </c>
      <c r="S18" t="str">
        <f t="shared" si="4"/>
        <v>Priority Depatment</v>
      </c>
      <c r="T18" t="str">
        <f t="shared" si="5"/>
        <v>Payment Completed</v>
      </c>
      <c r="U18" t="str" cm="1">
        <f t="array" ref="U18">_xlfn.IFS(K18&gt;=50000, "Very High", K18&gt;=30000, "High", K18&gt;=15000, "Medium", K18&lt;15000, "Low")</f>
        <v>Medium</v>
      </c>
      <c r="V18" t="str">
        <f t="shared" si="6"/>
        <v>Normal</v>
      </c>
      <c r="W18" t="str">
        <f t="shared" si="7"/>
        <v>No Review</v>
      </c>
    </row>
    <row r="19" spans="1:23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8"/>
        <v>No Action</v>
      </c>
      <c r="O19" t="str">
        <f t="shared" si="0"/>
        <v>High Bill</v>
      </c>
      <c r="P19" t="str">
        <f t="shared" si="1"/>
        <v>Non-senior</v>
      </c>
      <c r="Q19" t="str">
        <f t="shared" si="2"/>
        <v>High Billing Case</v>
      </c>
      <c r="R19" t="str">
        <f t="shared" si="3"/>
        <v>No Action</v>
      </c>
      <c r="S19" t="str">
        <f t="shared" si="4"/>
        <v>Regular Department</v>
      </c>
      <c r="T19" t="str">
        <f t="shared" si="5"/>
        <v>Payment Completed</v>
      </c>
      <c r="U19" t="str" cm="1">
        <f t="array" ref="U19">_xlfn.IFS(K19&gt;=50000, "Very High", K19&gt;=30000, "High", K19&gt;=15000, "Medium", K19&lt;15000, "Low")</f>
        <v>High</v>
      </c>
      <c r="V19" t="str">
        <f t="shared" si="6"/>
        <v>Normal</v>
      </c>
      <c r="W19" t="str">
        <f t="shared" si="7"/>
        <v>Management Review</v>
      </c>
    </row>
    <row r="20" spans="1:23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8"/>
        <v>Follow Up</v>
      </c>
      <c r="O20" t="str">
        <f t="shared" si="0"/>
        <v>Normal Bill</v>
      </c>
      <c r="P20" t="str">
        <f t="shared" si="1"/>
        <v>Non-senior</v>
      </c>
      <c r="Q20" t="str">
        <f t="shared" si="2"/>
        <v>Normal Case</v>
      </c>
      <c r="R20" t="str">
        <f t="shared" si="3"/>
        <v>No Action</v>
      </c>
      <c r="S20" t="str">
        <f t="shared" si="4"/>
        <v>Regular Department</v>
      </c>
      <c r="T20" t="str">
        <f t="shared" si="5"/>
        <v>Payment Pending</v>
      </c>
      <c r="U20" t="str" cm="1">
        <f t="array" ref="U20">_xlfn.IFS(K20&gt;=50000, "Very High", K20&gt;=30000, "High", K20&gt;=15000, "Medium", K20&lt;15000, "Low")</f>
        <v>Low</v>
      </c>
      <c r="V20" t="str">
        <f t="shared" si="6"/>
        <v>Normal</v>
      </c>
      <c r="W20" t="str">
        <f t="shared" si="7"/>
        <v>No Review</v>
      </c>
    </row>
    <row r="21" spans="1:23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8"/>
        <v>No Action</v>
      </c>
      <c r="O21" t="str">
        <f t="shared" si="0"/>
        <v>Normal Bill</v>
      </c>
      <c r="P21" t="str">
        <f t="shared" si="1"/>
        <v>Non-senior</v>
      </c>
      <c r="Q21" t="str">
        <f t="shared" si="2"/>
        <v>Normal Case</v>
      </c>
      <c r="R21" t="str">
        <f t="shared" si="3"/>
        <v>No Action</v>
      </c>
      <c r="S21" t="str">
        <f t="shared" si="4"/>
        <v>Priority Depatment</v>
      </c>
      <c r="T21" t="str">
        <f t="shared" si="5"/>
        <v>Payment Completed</v>
      </c>
      <c r="U21" t="str" cm="1">
        <f t="array" ref="U21">_xlfn.IFS(K21&gt;=50000, "Very High", K21&gt;=30000, "High", K21&gt;=15000, "Medium", K21&lt;15000, "Low")</f>
        <v>High</v>
      </c>
      <c r="V21" t="str">
        <f t="shared" si="6"/>
        <v>Normal</v>
      </c>
      <c r="W21" t="str">
        <f t="shared" si="7"/>
        <v>No Review</v>
      </c>
    </row>
    <row r="22" spans="1:23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8"/>
        <v>No Action</v>
      </c>
      <c r="O22" t="str">
        <f t="shared" si="0"/>
        <v>Normal Bill</v>
      </c>
      <c r="P22" t="str">
        <f t="shared" si="1"/>
        <v>Non-senior</v>
      </c>
      <c r="Q22" t="str">
        <f t="shared" si="2"/>
        <v>Normal Case</v>
      </c>
      <c r="R22" t="str">
        <f t="shared" si="3"/>
        <v>No Action</v>
      </c>
      <c r="S22" t="str">
        <f t="shared" si="4"/>
        <v>Regular Department</v>
      </c>
      <c r="T22" t="str">
        <f t="shared" si="5"/>
        <v>Payment Completed</v>
      </c>
      <c r="U22" t="str" cm="1">
        <f t="array" ref="U22">_xlfn.IFS(K22&gt;=50000, "Very High", K22&gt;=30000, "High", K22&gt;=15000, "Medium", K22&lt;15000, "Low")</f>
        <v>Low</v>
      </c>
      <c r="V22" t="str">
        <f t="shared" si="6"/>
        <v>Normal</v>
      </c>
      <c r="W22" t="str">
        <f t="shared" si="7"/>
        <v>No Review</v>
      </c>
    </row>
    <row r="23" spans="1:23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8"/>
        <v>No Action</v>
      </c>
      <c r="O23" t="str">
        <f t="shared" si="0"/>
        <v>High Bill</v>
      </c>
      <c r="P23" t="str">
        <f t="shared" si="1"/>
        <v>Senior Citizen</v>
      </c>
      <c r="Q23" t="str">
        <f t="shared" si="2"/>
        <v>High Billing Case</v>
      </c>
      <c r="R23" t="str">
        <f t="shared" si="3"/>
        <v>No Action</v>
      </c>
      <c r="S23" t="str">
        <f t="shared" si="4"/>
        <v>Priority Depatment</v>
      </c>
      <c r="T23" t="str">
        <f t="shared" si="5"/>
        <v>Payment Completed</v>
      </c>
      <c r="U23" t="str" cm="1">
        <f t="array" ref="U23">_xlfn.IFS(K23&gt;=50000, "Very High", K23&gt;=30000, "High", K23&gt;=15000, "Medium", K23&lt;15000, "Low")</f>
        <v>High</v>
      </c>
      <c r="V23" t="str">
        <f t="shared" si="6"/>
        <v>Normal</v>
      </c>
      <c r="W23" t="str">
        <f t="shared" si="7"/>
        <v>No Review</v>
      </c>
    </row>
    <row r="24" spans="1:23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8"/>
        <v>No Action</v>
      </c>
      <c r="O24" t="str">
        <f t="shared" si="0"/>
        <v>Normal Bill</v>
      </c>
      <c r="P24" t="str">
        <f t="shared" si="1"/>
        <v>Non-senior</v>
      </c>
      <c r="Q24" t="str">
        <f t="shared" si="2"/>
        <v>Normal Case</v>
      </c>
      <c r="R24" t="str">
        <f t="shared" si="3"/>
        <v>No Action</v>
      </c>
      <c r="S24" t="str">
        <f t="shared" si="4"/>
        <v>Regular Department</v>
      </c>
      <c r="T24" t="str">
        <f t="shared" si="5"/>
        <v>Payment Completed</v>
      </c>
      <c r="U24" t="str" cm="1">
        <f t="array" ref="U24">_xlfn.IFS(K24&gt;=50000, "Very High", K24&gt;=30000, "High", K24&gt;=15000, "Medium", K24&lt;15000, "Low")</f>
        <v>Low</v>
      </c>
      <c r="V24" t="str">
        <f t="shared" si="6"/>
        <v>Normal</v>
      </c>
      <c r="W24" t="str">
        <f t="shared" si="7"/>
        <v>No Review</v>
      </c>
    </row>
    <row r="25" spans="1:23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8"/>
        <v>Follow Up</v>
      </c>
      <c r="O25" t="str">
        <f t="shared" si="0"/>
        <v>Normal Bill</v>
      </c>
      <c r="P25" t="str">
        <f t="shared" si="1"/>
        <v>Non-senior</v>
      </c>
      <c r="Q25" t="str">
        <f t="shared" si="2"/>
        <v>Normal Case</v>
      </c>
      <c r="R25" t="str">
        <f t="shared" si="3"/>
        <v>No Action</v>
      </c>
      <c r="S25" t="str">
        <f t="shared" si="4"/>
        <v>Regular Department</v>
      </c>
      <c r="T25" t="str">
        <f t="shared" si="5"/>
        <v>Payment Pending</v>
      </c>
      <c r="U25" t="str" cm="1">
        <f t="array" ref="U25">_xlfn.IFS(K25&gt;=50000, "Very High", K25&gt;=30000, "High", K25&gt;=15000, "Medium", K25&lt;15000, "Low")</f>
        <v>Medium</v>
      </c>
      <c r="V25" t="str">
        <f t="shared" si="6"/>
        <v>Normal</v>
      </c>
      <c r="W25" t="str">
        <f t="shared" si="7"/>
        <v>No Review</v>
      </c>
    </row>
    <row r="26" spans="1:23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8"/>
        <v>No Action</v>
      </c>
      <c r="O26" t="str">
        <f t="shared" si="0"/>
        <v>High Bill</v>
      </c>
      <c r="P26" t="str">
        <f t="shared" si="1"/>
        <v>Senior Citizen</v>
      </c>
      <c r="Q26" t="str">
        <f t="shared" si="2"/>
        <v>High Billing Case</v>
      </c>
      <c r="R26" t="str">
        <f t="shared" si="3"/>
        <v>No Action</v>
      </c>
      <c r="S26" t="str">
        <f t="shared" si="4"/>
        <v>Priority Depatment</v>
      </c>
      <c r="T26" t="str">
        <f t="shared" si="5"/>
        <v>Payment Completed</v>
      </c>
      <c r="U26" t="str" cm="1">
        <f t="array" ref="U26">_xlfn.IFS(K26&gt;=50000, "Very High", K26&gt;=30000, "High", K26&gt;=15000, "Medium", K26&lt;15000, "Low")</f>
        <v>Very High</v>
      </c>
      <c r="V26" t="str">
        <f t="shared" si="6"/>
        <v>Normal</v>
      </c>
      <c r="W26" t="str">
        <f t="shared" si="7"/>
        <v>No Review</v>
      </c>
    </row>
    <row r="27" spans="1:23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8"/>
        <v>No Action</v>
      </c>
      <c r="O27" t="str">
        <f t="shared" si="0"/>
        <v>Normal Bill</v>
      </c>
      <c r="P27" t="str">
        <f t="shared" si="1"/>
        <v>Non-senior</v>
      </c>
      <c r="Q27" t="str">
        <f t="shared" si="2"/>
        <v>Normal Case</v>
      </c>
      <c r="R27" t="str">
        <f t="shared" si="3"/>
        <v>No Action</v>
      </c>
      <c r="S27" t="str">
        <f t="shared" si="4"/>
        <v>Regular Department</v>
      </c>
      <c r="T27" t="str">
        <f t="shared" si="5"/>
        <v>Payment Completed</v>
      </c>
      <c r="U27" t="str" cm="1">
        <f t="array" ref="U27">_xlfn.IFS(K27&gt;=50000, "Very High", K27&gt;=30000, "High", K27&gt;=15000, "Medium", K27&lt;15000, "Low")</f>
        <v>Low</v>
      </c>
      <c r="V27" t="str">
        <f t="shared" si="6"/>
        <v>Normal</v>
      </c>
      <c r="W27" t="str">
        <f t="shared" si="7"/>
        <v>No Review</v>
      </c>
    </row>
    <row r="28" spans="1:23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8"/>
        <v>Follow Up</v>
      </c>
      <c r="O28" t="str">
        <f t="shared" si="0"/>
        <v>Normal Bill</v>
      </c>
      <c r="P28" t="str">
        <f t="shared" si="1"/>
        <v>Non-senior</v>
      </c>
      <c r="Q28" t="str">
        <f t="shared" si="2"/>
        <v>Normal Case</v>
      </c>
      <c r="R28" t="str">
        <f t="shared" si="3"/>
        <v>No Action</v>
      </c>
      <c r="S28" t="str">
        <f t="shared" si="4"/>
        <v>Regular Department</v>
      </c>
      <c r="T28" t="str">
        <f t="shared" si="5"/>
        <v>Payment Pending</v>
      </c>
      <c r="U28" t="str" cm="1">
        <f t="array" ref="U28">_xlfn.IFS(K28&gt;=50000, "Very High", K28&gt;=30000, "High", K28&gt;=15000, "Medium", K28&lt;15000, "Low")</f>
        <v>Medium</v>
      </c>
      <c r="V28" t="str">
        <f t="shared" si="6"/>
        <v>Normal</v>
      </c>
      <c r="W28" t="str">
        <f t="shared" si="7"/>
        <v>No Review</v>
      </c>
    </row>
    <row r="29" spans="1:23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8"/>
        <v>No Action</v>
      </c>
      <c r="O29" t="str">
        <f t="shared" si="0"/>
        <v>Normal Bill</v>
      </c>
      <c r="P29" t="str">
        <f t="shared" si="1"/>
        <v>Non-senior</v>
      </c>
      <c r="Q29" t="str">
        <f t="shared" si="2"/>
        <v>Normal Case</v>
      </c>
      <c r="R29" t="str">
        <f t="shared" si="3"/>
        <v>No Action</v>
      </c>
      <c r="S29" t="str">
        <f t="shared" si="4"/>
        <v>Priority Depatment</v>
      </c>
      <c r="T29" t="str">
        <f t="shared" si="5"/>
        <v>Payment Completed</v>
      </c>
      <c r="U29" t="str" cm="1">
        <f t="array" ref="U29">_xlfn.IFS(K29&gt;=50000, "Very High", K29&gt;=30000, "High", K29&gt;=15000, "Medium", K29&lt;15000, "Low")</f>
        <v>Low</v>
      </c>
      <c r="V29" t="str">
        <f t="shared" si="6"/>
        <v>Normal</v>
      </c>
      <c r="W29" t="str">
        <f t="shared" si="7"/>
        <v>No Review</v>
      </c>
    </row>
    <row r="30" spans="1:23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8"/>
        <v>No Action</v>
      </c>
      <c r="O30" t="str">
        <f t="shared" si="0"/>
        <v>Normal Bill</v>
      </c>
      <c r="P30" t="str">
        <f t="shared" si="1"/>
        <v>Non-senior</v>
      </c>
      <c r="Q30" t="str">
        <f t="shared" si="2"/>
        <v>Normal Case</v>
      </c>
      <c r="R30" t="str">
        <f t="shared" si="3"/>
        <v>No Action</v>
      </c>
      <c r="S30" t="str">
        <f t="shared" si="4"/>
        <v>Regular Department</v>
      </c>
      <c r="T30" t="str">
        <f t="shared" si="5"/>
        <v>Payment Completed</v>
      </c>
      <c r="U30" t="str" cm="1">
        <f t="array" ref="U30">_xlfn.IFS(K30&gt;=50000, "Very High", K30&gt;=30000, "High", K30&gt;=15000, "Medium", K30&lt;15000, "Low")</f>
        <v>Low</v>
      </c>
      <c r="V30" t="str">
        <f t="shared" si="6"/>
        <v>Normal</v>
      </c>
      <c r="W30" t="str">
        <f t="shared" si="7"/>
        <v>No Review</v>
      </c>
    </row>
    <row r="31" spans="1:23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8"/>
        <v>No Action</v>
      </c>
      <c r="O31" t="str">
        <f t="shared" si="0"/>
        <v>Normal Bill</v>
      </c>
      <c r="P31" t="str">
        <f t="shared" si="1"/>
        <v>Non-senior</v>
      </c>
      <c r="Q31" t="str">
        <f t="shared" si="2"/>
        <v>Normal Case</v>
      </c>
      <c r="R31" t="str">
        <f t="shared" si="3"/>
        <v>No Action</v>
      </c>
      <c r="S31" t="str">
        <f t="shared" si="4"/>
        <v>Priority Depatment</v>
      </c>
      <c r="T31" t="str">
        <f t="shared" si="5"/>
        <v>Payment Completed</v>
      </c>
      <c r="U31" t="str" cm="1">
        <f t="array" ref="U31">_xlfn.IFS(K31&gt;=50000, "Very High", K31&gt;=30000, "High", K31&gt;=15000, "Medium", K31&lt;15000, "Low")</f>
        <v>Medium</v>
      </c>
      <c r="V31" t="str">
        <f t="shared" si="6"/>
        <v>Normal</v>
      </c>
      <c r="W31" t="str">
        <f t="shared" si="7"/>
        <v>No Review</v>
      </c>
    </row>
    <row r="32" spans="1:23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8"/>
        <v>No Action</v>
      </c>
      <c r="O32" t="str">
        <f t="shared" si="0"/>
        <v>Normal Bill</v>
      </c>
      <c r="P32" t="str">
        <f t="shared" si="1"/>
        <v>Non-senior</v>
      </c>
      <c r="Q32" t="str">
        <f t="shared" si="2"/>
        <v>Normal Case</v>
      </c>
      <c r="R32" t="str">
        <f t="shared" si="3"/>
        <v>No Action</v>
      </c>
      <c r="S32" t="str">
        <f t="shared" si="4"/>
        <v>Regular Department</v>
      </c>
      <c r="T32" t="str">
        <f t="shared" si="5"/>
        <v>Payment Completed</v>
      </c>
      <c r="U32" t="str" cm="1">
        <f t="array" ref="U32">_xlfn.IFS(K32&gt;=50000, "Very High", K32&gt;=30000, "High", K32&gt;=15000, "Medium", K32&lt;15000, "Low")</f>
        <v>Low</v>
      </c>
      <c r="V32" t="str">
        <f t="shared" si="6"/>
        <v>Normal</v>
      </c>
      <c r="W32" t="str">
        <f t="shared" si="7"/>
        <v>No Review</v>
      </c>
    </row>
    <row r="33" spans="1:23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8"/>
        <v>Follow Up</v>
      </c>
      <c r="O33" t="str">
        <f t="shared" si="0"/>
        <v>High Bill</v>
      </c>
      <c r="P33" t="str">
        <f t="shared" si="1"/>
        <v>Senior Citizen</v>
      </c>
      <c r="Q33" t="str">
        <f t="shared" si="2"/>
        <v>High Billing Case</v>
      </c>
      <c r="R33" t="str">
        <f t="shared" si="3"/>
        <v>Urgent Payment Follow Up</v>
      </c>
      <c r="S33" t="str">
        <f t="shared" si="4"/>
        <v>Priority Depatment</v>
      </c>
      <c r="T33" t="str">
        <f t="shared" si="5"/>
        <v>Payment Pending</v>
      </c>
      <c r="U33" t="str" cm="1">
        <f t="array" ref="U33">_xlfn.IFS(K33&gt;=50000, "Very High", K33&gt;=30000, "High", K33&gt;=15000, "Medium", K33&lt;15000, "Low")</f>
        <v>High</v>
      </c>
      <c r="V33" t="str">
        <f t="shared" si="6"/>
        <v>High</v>
      </c>
      <c r="W33" t="str">
        <f t="shared" si="7"/>
        <v>No Review</v>
      </c>
    </row>
    <row r="34" spans="1:23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8"/>
        <v>No Action</v>
      </c>
      <c r="O34" t="str">
        <f t="shared" si="0"/>
        <v>High Bill</v>
      </c>
      <c r="P34" t="str">
        <f t="shared" si="1"/>
        <v>Non-senior</v>
      </c>
      <c r="Q34" t="str">
        <f t="shared" si="2"/>
        <v>High Billing Case</v>
      </c>
      <c r="R34" t="str">
        <f t="shared" si="3"/>
        <v>No Action</v>
      </c>
      <c r="S34" t="str">
        <f t="shared" si="4"/>
        <v>Regular Department</v>
      </c>
      <c r="T34" t="str">
        <f t="shared" si="5"/>
        <v>Payment Completed</v>
      </c>
      <c r="U34" t="str" cm="1">
        <f t="array" ref="U34">_xlfn.IFS(K34&gt;=50000, "Very High", K34&gt;=30000, "High", K34&gt;=15000, "Medium", K34&lt;15000, "Low")</f>
        <v>High</v>
      </c>
      <c r="V34" t="str">
        <f t="shared" si="6"/>
        <v>Normal</v>
      </c>
      <c r="W34" t="str">
        <f t="shared" si="7"/>
        <v>Management Review</v>
      </c>
    </row>
    <row r="35" spans="1:23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8"/>
        <v>No Action</v>
      </c>
      <c r="O35" t="str">
        <f t="shared" si="0"/>
        <v>Normal Bill</v>
      </c>
      <c r="P35" t="str">
        <f t="shared" si="1"/>
        <v>Non-senior</v>
      </c>
      <c r="Q35" t="str">
        <f t="shared" si="2"/>
        <v>Normal Case</v>
      </c>
      <c r="R35" t="str">
        <f t="shared" si="3"/>
        <v>No Action</v>
      </c>
      <c r="S35" t="str">
        <f t="shared" si="4"/>
        <v>Regular Department</v>
      </c>
      <c r="T35" t="str">
        <f t="shared" si="5"/>
        <v>Payment Completed</v>
      </c>
      <c r="U35" t="str" cm="1">
        <f t="array" ref="U35">_xlfn.IFS(K35&gt;=50000, "Very High", K35&gt;=30000, "High", K35&gt;=15000, "Medium", K35&lt;15000, "Low")</f>
        <v>Medium</v>
      </c>
      <c r="V35" t="str">
        <f t="shared" si="6"/>
        <v>Normal</v>
      </c>
      <c r="W35" t="str">
        <f t="shared" si="7"/>
        <v>No Review</v>
      </c>
    </row>
    <row r="36" spans="1:23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8"/>
        <v>Follow Up</v>
      </c>
      <c r="O36" t="str">
        <f t="shared" si="0"/>
        <v>Normal Bill</v>
      </c>
      <c r="P36" t="str">
        <f t="shared" si="1"/>
        <v>Senior Citizen</v>
      </c>
      <c r="Q36" t="str">
        <f t="shared" si="2"/>
        <v>Normal Case</v>
      </c>
      <c r="R36" t="str">
        <f t="shared" si="3"/>
        <v>Urgent Payment Follow Up</v>
      </c>
      <c r="S36" t="str">
        <f t="shared" si="4"/>
        <v>Priority Depatment</v>
      </c>
      <c r="T36" t="str">
        <f t="shared" si="5"/>
        <v>Payment Pending</v>
      </c>
      <c r="U36" t="str" cm="1">
        <f t="array" ref="U36">_xlfn.IFS(K36&gt;=50000, "Very High", K36&gt;=30000, "High", K36&gt;=15000, "Medium", K36&lt;15000, "Low")</f>
        <v>High</v>
      </c>
      <c r="V36" t="str">
        <f t="shared" si="6"/>
        <v>Normal</v>
      </c>
      <c r="W36" t="str">
        <f t="shared" si="7"/>
        <v>No Review</v>
      </c>
    </row>
    <row r="37" spans="1:23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8"/>
        <v>No Action</v>
      </c>
      <c r="O37" t="str">
        <f t="shared" si="0"/>
        <v>Normal Bill</v>
      </c>
      <c r="P37" t="str">
        <f t="shared" si="1"/>
        <v>Non-senior</v>
      </c>
      <c r="Q37" t="str">
        <f t="shared" si="2"/>
        <v>Normal Case</v>
      </c>
      <c r="R37" t="str">
        <f t="shared" si="3"/>
        <v>No Action</v>
      </c>
      <c r="S37" t="str">
        <f t="shared" si="4"/>
        <v>Regular Department</v>
      </c>
      <c r="T37" t="str">
        <f t="shared" si="5"/>
        <v>Payment Completed</v>
      </c>
      <c r="U37" t="str" cm="1">
        <f t="array" ref="U37">_xlfn.IFS(K37&gt;=50000, "Very High", K37&gt;=30000, "High", K37&gt;=15000, "Medium", K37&lt;15000, "Low")</f>
        <v>Low</v>
      </c>
      <c r="V37" t="str">
        <f t="shared" si="6"/>
        <v>Normal</v>
      </c>
      <c r="W37" t="str">
        <f t="shared" si="7"/>
        <v>No Review</v>
      </c>
    </row>
    <row r="38" spans="1:23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8"/>
        <v>No Action</v>
      </c>
      <c r="O38" t="str">
        <f t="shared" si="0"/>
        <v>Normal Bill</v>
      </c>
      <c r="P38" t="str">
        <f t="shared" si="1"/>
        <v>Non-senior</v>
      </c>
      <c r="Q38" t="str">
        <f t="shared" si="2"/>
        <v>Normal Case</v>
      </c>
      <c r="R38" t="str">
        <f t="shared" si="3"/>
        <v>No Action</v>
      </c>
      <c r="S38" t="str">
        <f t="shared" si="4"/>
        <v>Regular Department</v>
      </c>
      <c r="T38" t="str">
        <f t="shared" si="5"/>
        <v>Payment Completed</v>
      </c>
      <c r="U38" t="str" cm="1">
        <f t="array" ref="U38">_xlfn.IFS(K38&gt;=50000, "Very High", K38&gt;=30000, "High", K38&gt;=15000, "Medium", K38&lt;15000, "Low")</f>
        <v>Medium</v>
      </c>
      <c r="V38" t="str">
        <f t="shared" si="6"/>
        <v>Normal</v>
      </c>
      <c r="W38" t="str">
        <f t="shared" si="7"/>
        <v>No Review</v>
      </c>
    </row>
    <row r="39" spans="1:23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8"/>
        <v>No Action</v>
      </c>
      <c r="O39" t="str">
        <f t="shared" si="0"/>
        <v>Normal Bill</v>
      </c>
      <c r="P39" t="str">
        <f t="shared" si="1"/>
        <v>Non-senior</v>
      </c>
      <c r="Q39" t="str">
        <f t="shared" si="2"/>
        <v>Normal Case</v>
      </c>
      <c r="R39" t="str">
        <f t="shared" si="3"/>
        <v>No Action</v>
      </c>
      <c r="S39" t="str">
        <f t="shared" si="4"/>
        <v>Priority Depatment</v>
      </c>
      <c r="T39" t="str">
        <f t="shared" si="5"/>
        <v>Payment Completed</v>
      </c>
      <c r="U39" t="str" cm="1">
        <f t="array" ref="U39">_xlfn.IFS(K39&gt;=50000, "Very High", K39&gt;=30000, "High", K39&gt;=15000, "Medium", K39&lt;15000, "Low")</f>
        <v>Low</v>
      </c>
      <c r="V39" t="str">
        <f t="shared" si="6"/>
        <v>Normal</v>
      </c>
      <c r="W39" t="str">
        <f t="shared" si="7"/>
        <v>No Review</v>
      </c>
    </row>
    <row r="40" spans="1:23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8"/>
        <v>Follow Up</v>
      </c>
      <c r="O40" t="str">
        <f t="shared" si="0"/>
        <v>Normal Bill</v>
      </c>
      <c r="P40" t="str">
        <f t="shared" si="1"/>
        <v>Senior Citizen</v>
      </c>
      <c r="Q40" t="str">
        <f t="shared" si="2"/>
        <v>Normal Case</v>
      </c>
      <c r="R40" t="str">
        <f t="shared" si="3"/>
        <v>No Action</v>
      </c>
      <c r="S40" t="str">
        <f t="shared" si="4"/>
        <v>Regular Department</v>
      </c>
      <c r="T40" t="str">
        <f t="shared" si="5"/>
        <v>Payment Pending</v>
      </c>
      <c r="U40" t="str" cm="1">
        <f t="array" ref="U40">_xlfn.IFS(K40&gt;=50000, "Very High", K40&gt;=30000, "High", K40&gt;=15000, "Medium", K40&lt;15000, "Low")</f>
        <v>Low</v>
      </c>
      <c r="V40" t="str">
        <f t="shared" si="6"/>
        <v>Normal</v>
      </c>
      <c r="W40" t="str">
        <f t="shared" si="7"/>
        <v>No Review</v>
      </c>
    </row>
    <row r="41" spans="1:23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8"/>
        <v>No Action</v>
      </c>
      <c r="O41" t="str">
        <f t="shared" si="0"/>
        <v>High Bill</v>
      </c>
      <c r="P41" t="str">
        <f t="shared" si="1"/>
        <v>Non-senior</v>
      </c>
      <c r="Q41" t="str">
        <f t="shared" si="2"/>
        <v>High Billing Case</v>
      </c>
      <c r="R41" t="str">
        <f t="shared" si="3"/>
        <v>No Action</v>
      </c>
      <c r="S41" t="str">
        <f t="shared" si="4"/>
        <v>Priority Depatment</v>
      </c>
      <c r="T41" t="str">
        <f t="shared" si="5"/>
        <v>Payment Completed</v>
      </c>
      <c r="U41" t="str" cm="1">
        <f t="array" ref="U41">_xlfn.IFS(K41&gt;=50000, "Very High", K41&gt;=30000, "High", K41&gt;=15000, "Medium", K41&lt;15000, "Low")</f>
        <v>Very High</v>
      </c>
      <c r="V41" t="str">
        <f t="shared" si="6"/>
        <v>Normal</v>
      </c>
      <c r="W41" t="str">
        <f t="shared" si="7"/>
        <v>No Review</v>
      </c>
    </row>
    <row r="43" spans="1:23">
      <c r="H43">
        <f>SUMIF(Department,"Opthomology",Bills)</f>
        <v>0</v>
      </c>
    </row>
    <row r="47" spans="1:23">
      <c r="E47" t="s">
        <v>123</v>
      </c>
      <c r="H47">
        <f>SUM(K2:K41)</f>
        <v>1019500</v>
      </c>
    </row>
    <row r="48" spans="1:23">
      <c r="E48" t="s">
        <v>235</v>
      </c>
      <c r="H48">
        <f>SUMIF(Department, E39, Bills)</f>
        <v>179000</v>
      </c>
    </row>
    <row r="49" spans="5:8">
      <c r="E49" t="s">
        <v>138</v>
      </c>
      <c r="H49">
        <f>COUNTIF(Department, E40)</f>
        <v>7</v>
      </c>
    </row>
    <row r="50" spans="5:8">
      <c r="E50" t="s">
        <v>139</v>
      </c>
      <c r="H50">
        <f>AVERAGEIF(Department, E39, Bills)</f>
        <v>25571.428571428572</v>
      </c>
    </row>
    <row r="51" spans="5:8">
      <c r="E51" t="s">
        <v>124</v>
      </c>
      <c r="H51">
        <f>SUMIF(Insurance, J40, Bills)</f>
        <v>499500</v>
      </c>
    </row>
    <row r="52" spans="5:8">
      <c r="E52" t="s">
        <v>125</v>
      </c>
      <c r="H52">
        <f>COUNTIF(Status, L40)</f>
        <v>10</v>
      </c>
    </row>
    <row r="53" spans="5:8">
      <c r="E53" t="s">
        <v>126</v>
      </c>
      <c r="H53">
        <f>SUMIF(Status, L40, Bills)</f>
        <v>344500</v>
      </c>
    </row>
    <row r="54" spans="5:8">
      <c r="E54" t="s">
        <v>127</v>
      </c>
      <c r="H54">
        <f>SUMIFS(Bills, Department, E31, Insurance, J36)</f>
        <v>275500</v>
      </c>
    </row>
    <row r="55" spans="5:8">
      <c r="E55" t="s">
        <v>128</v>
      </c>
      <c r="H55">
        <f>COUNTIFS(Department,E41, L2:L41, L40)</f>
        <v>4</v>
      </c>
    </row>
    <row r="56" spans="5:8">
      <c r="E56" t="s">
        <v>129</v>
      </c>
      <c r="H56">
        <f>AVERAGEIF(Insurance, J38, Bills)</f>
        <v>25766.666666666668</v>
      </c>
    </row>
    <row r="57" spans="5:8">
      <c r="E57" t="s">
        <v>130</v>
      </c>
      <c r="H57">
        <f>COUNTIF(Bills, "&gt;40000")</f>
        <v>9</v>
      </c>
    </row>
    <row r="58" spans="5:8">
      <c r="E58" t="s">
        <v>131</v>
      </c>
      <c r="H58">
        <f>SUMIF(Bills, "&gt;40000", Bills)</f>
        <v>508000</v>
      </c>
    </row>
    <row r="59" spans="5:8">
      <c r="E59" t="s">
        <v>132</v>
      </c>
      <c r="H59">
        <f>COUNTIF(Stay, "&gt;5")</f>
        <v>11</v>
      </c>
    </row>
    <row r="60" spans="5:8">
      <c r="E60" t="s">
        <v>133</v>
      </c>
      <c r="H60">
        <f>SUMIF(Stay, "&gt;5", Bills)</f>
        <v>582000</v>
      </c>
    </row>
    <row r="61" spans="5:8">
      <c r="E61" t="s">
        <v>134</v>
      </c>
      <c r="H61">
        <f>SUMIFS(Bills, Department, E41, Stay, "&gt;5")</f>
        <v>320000</v>
      </c>
    </row>
    <row r="62" spans="5:8">
      <c r="E62" t="s">
        <v>135</v>
      </c>
      <c r="H62">
        <f>AVERAGEIF(L2:L41, L5, Stay)</f>
        <v>5.8</v>
      </c>
    </row>
    <row r="63" spans="5:8">
      <c r="E63" t="s">
        <v>136</v>
      </c>
      <c r="H63">
        <f>_xlfn.MAXIFS(Bills, Department, E41)</f>
        <v>76000</v>
      </c>
    </row>
    <row r="64" spans="5:8">
      <c r="E64" t="s">
        <v>137</v>
      </c>
      <c r="H64">
        <f>_xlfn.MINIFS(Bills, Department, E34)</f>
        <v>12500</v>
      </c>
    </row>
    <row r="65" spans="5:8">
      <c r="E65" t="s">
        <v>140</v>
      </c>
      <c r="H65">
        <f>COUNTIFS(Department, E41, L2:L41, L36)</f>
        <v>4</v>
      </c>
    </row>
    <row r="66" spans="5:8">
      <c r="E66" t="s">
        <v>141</v>
      </c>
      <c r="H66">
        <f>AVERAGEIFS(Bills, Department, E41, Insurance, J40)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zoomScale="102" zoomScaleNormal="102" workbookViewId="0">
      <selection activeCell="A21" sqref="A21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185</v>
      </c>
    </row>
    <row r="2" spans="1:1">
      <c r="A2" t="s">
        <v>186</v>
      </c>
    </row>
    <row r="3" spans="1:1">
      <c r="A3" t="s">
        <v>187</v>
      </c>
    </row>
    <row r="5" spans="1:1">
      <c r="A5" t="s">
        <v>188</v>
      </c>
    </row>
    <row r="6" spans="1:1">
      <c r="A6" s="11" t="s">
        <v>189</v>
      </c>
    </row>
    <row r="7" spans="1:1">
      <c r="A7" s="11" t="s">
        <v>190</v>
      </c>
    </row>
    <row r="9" spans="1:1">
      <c r="A9" t="s">
        <v>191</v>
      </c>
    </row>
    <row r="10" spans="1:1">
      <c r="A10" t="s">
        <v>193</v>
      </c>
    </row>
    <row r="11" spans="1:1">
      <c r="A11" t="s">
        <v>192</v>
      </c>
    </row>
    <row r="12" spans="1:1">
      <c r="A12" s="11"/>
    </row>
    <row r="13" spans="1:1">
      <c r="A13" t="s">
        <v>194</v>
      </c>
    </row>
    <row r="14" spans="1:1">
      <c r="A14" s="11" t="s">
        <v>195</v>
      </c>
    </row>
    <row r="15" spans="1:1">
      <c r="A15" s="12" t="s">
        <v>196</v>
      </c>
    </row>
    <row r="16" spans="1:1">
      <c r="A16" s="11" t="s">
        <v>197</v>
      </c>
    </row>
    <row r="18" spans="1:3">
      <c r="A18" t="s">
        <v>198</v>
      </c>
    </row>
    <row r="19" spans="1:3">
      <c r="A19" s="11" t="s">
        <v>199</v>
      </c>
    </row>
    <row r="20" spans="1:3">
      <c r="A20" s="11" t="s">
        <v>196</v>
      </c>
    </row>
    <row r="21" spans="1:3">
      <c r="A21" s="11" t="s">
        <v>200</v>
      </c>
    </row>
    <row r="23" spans="1:3">
      <c r="A23" t="s">
        <v>201</v>
      </c>
    </row>
    <row r="24" spans="1:3">
      <c r="A24" s="11" t="s">
        <v>202</v>
      </c>
    </row>
    <row r="25" spans="1:3">
      <c r="A25" s="11" t="s">
        <v>203</v>
      </c>
    </row>
    <row r="27" spans="1:3">
      <c r="A27" t="s">
        <v>204</v>
      </c>
    </row>
    <row r="28" spans="1:3">
      <c r="A28" t="s">
        <v>205</v>
      </c>
    </row>
    <row r="29" spans="1:3">
      <c r="A29" s="13"/>
    </row>
    <row r="30" spans="1:3">
      <c r="A30" t="s">
        <v>206</v>
      </c>
      <c r="B30" s="4" t="s">
        <v>207</v>
      </c>
      <c r="C30" s="5" t="s">
        <v>208</v>
      </c>
    </row>
    <row r="31" spans="1:3">
      <c r="B31" s="3" t="s">
        <v>209</v>
      </c>
      <c r="C31" s="6" t="s">
        <v>210</v>
      </c>
    </row>
    <row r="32" spans="1:3">
      <c r="B32" s="3" t="s">
        <v>211</v>
      </c>
      <c r="C32" s="6" t="s">
        <v>212</v>
      </c>
    </row>
    <row r="33" spans="1:3">
      <c r="A33" s="13"/>
      <c r="B33" s="3" t="s">
        <v>213</v>
      </c>
      <c r="C33" s="6" t="s">
        <v>214</v>
      </c>
    </row>
    <row r="34" spans="1:3">
      <c r="B34" s="3" t="s">
        <v>215</v>
      </c>
      <c r="C34" s="6" t="s">
        <v>216</v>
      </c>
    </row>
    <row r="37" spans="1:3">
      <c r="A37" t="s">
        <v>217</v>
      </c>
    </row>
    <row r="38" spans="1:3">
      <c r="A38" s="11" t="s">
        <v>218</v>
      </c>
    </row>
    <row r="39" spans="1:3">
      <c r="A39" s="11" t="s">
        <v>219</v>
      </c>
    </row>
    <row r="40" spans="1:3">
      <c r="A40" t="s">
        <v>220</v>
      </c>
    </row>
    <row r="42" spans="1:3">
      <c r="A42" t="s">
        <v>221</v>
      </c>
    </row>
    <row r="43" spans="1:3">
      <c r="A43" s="11"/>
    </row>
    <row r="44" spans="1:3">
      <c r="A44" s="11" t="s">
        <v>222</v>
      </c>
    </row>
    <row r="45" spans="1:3">
      <c r="A45" s="12" t="s">
        <v>223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142</v>
      </c>
      <c r="B1" s="5" t="s">
        <v>143</v>
      </c>
      <c r="C1" s="5" t="s">
        <v>144</v>
      </c>
      <c r="D1" s="4" t="s">
        <v>145</v>
      </c>
    </row>
    <row r="2" spans="1:4">
      <c r="A2" s="3">
        <v>1</v>
      </c>
      <c r="B2" s="6" t="s">
        <v>146</v>
      </c>
      <c r="C2" s="7" t="s">
        <v>147</v>
      </c>
      <c r="D2" s="8">
        <v>1019500</v>
      </c>
    </row>
    <row r="3" spans="1:4">
      <c r="A3" s="3">
        <v>2</v>
      </c>
      <c r="B3" s="6" t="s">
        <v>148</v>
      </c>
      <c r="C3" s="7" t="s">
        <v>149</v>
      </c>
      <c r="D3" s="8">
        <v>443500</v>
      </c>
    </row>
    <row r="4" spans="1:4">
      <c r="A4" s="3">
        <v>2</v>
      </c>
      <c r="B4" s="6" t="s">
        <v>150</v>
      </c>
      <c r="C4" s="7" t="s">
        <v>149</v>
      </c>
      <c r="D4" s="8">
        <v>89500</v>
      </c>
    </row>
    <row r="5" spans="1:4">
      <c r="A5" s="3">
        <v>2</v>
      </c>
      <c r="B5" s="6" t="s">
        <v>151</v>
      </c>
      <c r="C5" s="7" t="s">
        <v>149</v>
      </c>
      <c r="D5" s="8">
        <v>77500</v>
      </c>
    </row>
    <row r="6" spans="1:4">
      <c r="A6" s="3">
        <v>2</v>
      </c>
      <c r="B6" s="6" t="s">
        <v>152</v>
      </c>
      <c r="C6" s="7" t="s">
        <v>149</v>
      </c>
      <c r="D6" s="8">
        <v>179000</v>
      </c>
    </row>
    <row r="7" spans="1:4">
      <c r="A7" s="3">
        <v>2</v>
      </c>
      <c r="B7" s="6" t="s">
        <v>153</v>
      </c>
      <c r="C7" s="7" t="s">
        <v>149</v>
      </c>
      <c r="D7" s="8">
        <v>230000</v>
      </c>
    </row>
    <row r="8" spans="1:4">
      <c r="A8" s="3">
        <v>3</v>
      </c>
      <c r="B8" s="6" t="s">
        <v>154</v>
      </c>
      <c r="C8" s="7" t="s">
        <v>155</v>
      </c>
      <c r="D8" s="4">
        <v>10</v>
      </c>
    </row>
    <row r="9" spans="1:4">
      <c r="A9" s="3">
        <v>3</v>
      </c>
      <c r="B9" s="6" t="s">
        <v>156</v>
      </c>
      <c r="C9" s="7" t="s">
        <v>155</v>
      </c>
      <c r="D9" s="4">
        <v>7</v>
      </c>
    </row>
    <row r="10" spans="1:4">
      <c r="A10" s="3">
        <v>3</v>
      </c>
      <c r="B10" s="6" t="s">
        <v>157</v>
      </c>
      <c r="C10" s="7" t="s">
        <v>155</v>
      </c>
      <c r="D10" s="4">
        <v>8</v>
      </c>
    </row>
    <row r="11" spans="1:4">
      <c r="A11" s="3">
        <v>3</v>
      </c>
      <c r="B11" s="6" t="s">
        <v>158</v>
      </c>
      <c r="C11" s="7" t="s">
        <v>155</v>
      </c>
      <c r="D11" s="4">
        <v>7</v>
      </c>
    </row>
    <row r="12" spans="1:4">
      <c r="A12" s="3">
        <v>3</v>
      </c>
      <c r="B12" s="6" t="s">
        <v>159</v>
      </c>
      <c r="C12" s="7" t="s">
        <v>155</v>
      </c>
      <c r="D12" s="4">
        <v>8</v>
      </c>
    </row>
    <row r="13" spans="1:4">
      <c r="A13" s="3">
        <v>4</v>
      </c>
      <c r="B13" s="6" t="s">
        <v>160</v>
      </c>
      <c r="C13" s="7" t="s">
        <v>161</v>
      </c>
      <c r="D13" s="8">
        <v>44350</v>
      </c>
    </row>
    <row r="14" spans="1:4">
      <c r="A14" s="3">
        <v>4</v>
      </c>
      <c r="B14" s="6" t="s">
        <v>162</v>
      </c>
      <c r="C14" s="7" t="s">
        <v>161</v>
      </c>
      <c r="D14" s="9">
        <v>12785.71</v>
      </c>
    </row>
    <row r="15" spans="1:4">
      <c r="A15" s="3">
        <v>4</v>
      </c>
      <c r="B15" s="6" t="s">
        <v>163</v>
      </c>
      <c r="C15" s="7" t="s">
        <v>161</v>
      </c>
      <c r="D15" s="9">
        <v>9687.5</v>
      </c>
    </row>
    <row r="16" spans="1:4">
      <c r="A16" s="3">
        <v>4</v>
      </c>
      <c r="B16" s="6" t="s">
        <v>164</v>
      </c>
      <c r="C16" s="7" t="s">
        <v>161</v>
      </c>
      <c r="D16" s="9">
        <v>25571.43</v>
      </c>
    </row>
    <row r="17" spans="1:4">
      <c r="A17" s="3">
        <v>4</v>
      </c>
      <c r="B17" s="6" t="s">
        <v>165</v>
      </c>
      <c r="C17" s="7" t="s">
        <v>161</v>
      </c>
      <c r="D17" s="8">
        <v>28750</v>
      </c>
    </row>
    <row r="18" spans="1:4">
      <c r="A18" s="3">
        <v>5</v>
      </c>
      <c r="B18" s="6" t="s">
        <v>166</v>
      </c>
      <c r="C18" s="7" t="s">
        <v>149</v>
      </c>
      <c r="D18" s="8">
        <v>499500</v>
      </c>
    </row>
    <row r="19" spans="1:4">
      <c r="A19" s="3">
        <v>6</v>
      </c>
      <c r="B19" s="6" t="s">
        <v>167</v>
      </c>
      <c r="C19" s="7" t="s">
        <v>155</v>
      </c>
      <c r="D19" s="4">
        <v>10</v>
      </c>
    </row>
    <row r="20" spans="1:4">
      <c r="A20" s="3">
        <v>7</v>
      </c>
      <c r="B20" s="6" t="s">
        <v>168</v>
      </c>
      <c r="C20" s="7" t="s">
        <v>149</v>
      </c>
      <c r="D20" s="8">
        <v>344500</v>
      </c>
    </row>
    <row r="21" spans="1:4">
      <c r="A21" s="3">
        <v>8</v>
      </c>
      <c r="B21" s="6" t="s">
        <v>169</v>
      </c>
      <c r="C21" s="7" t="s">
        <v>170</v>
      </c>
      <c r="D21" s="8">
        <v>275500</v>
      </c>
    </row>
    <row r="22" spans="1:4">
      <c r="A22" s="3">
        <v>9</v>
      </c>
      <c r="B22" s="6" t="s">
        <v>171</v>
      </c>
      <c r="C22" s="7" t="s">
        <v>172</v>
      </c>
      <c r="D22" s="4">
        <v>4</v>
      </c>
    </row>
    <row r="23" spans="1:4">
      <c r="A23" s="3">
        <v>10</v>
      </c>
      <c r="B23" s="6" t="s">
        <v>173</v>
      </c>
      <c r="C23" s="7" t="s">
        <v>161</v>
      </c>
      <c r="D23" s="9">
        <v>25766.67</v>
      </c>
    </row>
    <row r="24" spans="1:4">
      <c r="A24" s="3">
        <v>11</v>
      </c>
      <c r="B24" s="6" t="s">
        <v>174</v>
      </c>
      <c r="C24" s="7" t="s">
        <v>155</v>
      </c>
      <c r="D24" s="4">
        <v>9</v>
      </c>
    </row>
    <row r="25" spans="1:4">
      <c r="A25" s="3">
        <v>12</v>
      </c>
      <c r="B25" s="6" t="s">
        <v>175</v>
      </c>
      <c r="C25" s="7" t="s">
        <v>149</v>
      </c>
      <c r="D25" s="8">
        <v>508000</v>
      </c>
    </row>
    <row r="26" spans="1:4">
      <c r="A26" s="3">
        <v>13</v>
      </c>
      <c r="B26" s="6" t="s">
        <v>176</v>
      </c>
      <c r="C26" s="7" t="s">
        <v>155</v>
      </c>
      <c r="D26" s="4">
        <v>11</v>
      </c>
    </row>
    <row r="27" spans="1:4">
      <c r="A27" s="3">
        <v>14</v>
      </c>
      <c r="B27" s="6" t="s">
        <v>177</v>
      </c>
      <c r="C27" s="7" t="s">
        <v>149</v>
      </c>
      <c r="D27" s="8">
        <v>582000</v>
      </c>
    </row>
    <row r="28" spans="1:4">
      <c r="A28" s="3">
        <v>15</v>
      </c>
      <c r="B28" s="6" t="s">
        <v>178</v>
      </c>
      <c r="C28" s="7" t="s">
        <v>170</v>
      </c>
      <c r="D28" s="8">
        <v>320000</v>
      </c>
    </row>
    <row r="29" spans="1:4" ht="28.8">
      <c r="A29" s="3">
        <v>16</v>
      </c>
      <c r="B29" s="6" t="s">
        <v>179</v>
      </c>
      <c r="C29" s="7" t="s">
        <v>161</v>
      </c>
      <c r="D29" s="4" t="s">
        <v>180</v>
      </c>
    </row>
    <row r="30" spans="1:4">
      <c r="A30" s="3">
        <v>17</v>
      </c>
      <c r="B30" s="6" t="s">
        <v>181</v>
      </c>
      <c r="C30" s="7" t="s">
        <v>182</v>
      </c>
      <c r="D30" s="8">
        <v>76000</v>
      </c>
    </row>
    <row r="31" spans="1:4">
      <c r="A31" s="3">
        <v>18</v>
      </c>
      <c r="B31" s="6" t="s">
        <v>183</v>
      </c>
      <c r="C31" s="7" t="s">
        <v>184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Patient_Data</vt:lpstr>
      <vt:lpstr>Questions</vt:lpstr>
      <vt:lpstr>Answers</vt:lpstr>
      <vt:lpstr>Bills</vt:lpstr>
      <vt:lpstr>Department</vt:lpstr>
      <vt:lpstr>Dept</vt:lpstr>
      <vt:lpstr>Gender</vt:lpstr>
      <vt:lpstr>Insurance</vt:lpstr>
      <vt:lpstr>Status</vt:lpstr>
      <vt:lpstr>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Chandu Kamsu</cp:lastModifiedBy>
  <dcterms:created xsi:type="dcterms:W3CDTF">2026-09-09T05:55:57Z</dcterms:created>
  <dcterms:modified xsi:type="dcterms:W3CDTF">2026-10-29T12:20:12Z</dcterms:modified>
</cp:coreProperties>
</file>